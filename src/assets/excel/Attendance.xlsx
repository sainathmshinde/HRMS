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CHANDRA\Desktop\"/>
    </mc:Choice>
  </mc:AlternateContent>
  <xr:revisionPtr revIDLastSave="0" documentId="8_{AF6AD7D9-7AA6-4859-B5D9-0C40EC604BC8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7" i="1" l="1"/>
  <c r="AJ8" i="1"/>
  <c r="AJ14" i="1"/>
  <c r="AK33" i="1"/>
  <c r="AK31" i="1"/>
  <c r="AK30" i="1"/>
  <c r="AK32" i="1"/>
  <c r="AK29" i="1"/>
  <c r="AK28" i="1"/>
  <c r="AK27" i="1"/>
  <c r="AK26" i="1"/>
  <c r="AK25" i="1"/>
  <c r="AK24" i="1"/>
  <c r="AK23" i="1"/>
  <c r="AK22" i="1"/>
  <c r="AK21" i="1"/>
  <c r="AK19" i="1"/>
  <c r="AK15" i="1"/>
  <c r="AK13" i="1"/>
  <c r="AK12" i="1"/>
  <c r="AK11" i="1"/>
  <c r="AK10" i="1"/>
  <c r="AK9" i="1"/>
  <c r="AN33" i="1"/>
  <c r="AM33" i="1"/>
  <c r="AJ33" i="1"/>
  <c r="AN31" i="1"/>
  <c r="AM31" i="1"/>
  <c r="AJ31" i="1"/>
  <c r="AN30" i="1"/>
  <c r="AM30" i="1"/>
  <c r="AJ30" i="1"/>
  <c r="AN32" i="1"/>
  <c r="AM32" i="1"/>
  <c r="AJ32" i="1"/>
  <c r="AN29" i="1"/>
  <c r="AM29" i="1"/>
  <c r="AJ29" i="1"/>
  <c r="AN28" i="1"/>
  <c r="AM28" i="1"/>
  <c r="AJ28" i="1"/>
  <c r="AN27" i="1"/>
  <c r="AM27" i="1"/>
  <c r="AJ27" i="1"/>
  <c r="AN26" i="1"/>
  <c r="AM26" i="1"/>
  <c r="AJ26" i="1"/>
  <c r="AN25" i="1"/>
  <c r="AM25" i="1"/>
  <c r="AJ25" i="1"/>
  <c r="AN24" i="1"/>
  <c r="AM24" i="1"/>
  <c r="AJ24" i="1"/>
  <c r="AN23" i="1"/>
  <c r="AM23" i="1"/>
  <c r="AJ23" i="1"/>
  <c r="AN22" i="1"/>
  <c r="AM22" i="1"/>
  <c r="AJ22" i="1"/>
  <c r="AN21" i="1"/>
  <c r="AM21" i="1"/>
  <c r="AJ21" i="1"/>
  <c r="AN20" i="1"/>
  <c r="AM20" i="1"/>
  <c r="AJ20" i="1"/>
  <c r="AN19" i="1"/>
  <c r="AM19" i="1"/>
  <c r="AJ19" i="1"/>
  <c r="AN18" i="1"/>
  <c r="AM18" i="1"/>
  <c r="AJ18" i="1"/>
  <c r="AN17" i="1"/>
  <c r="AM17" i="1"/>
  <c r="AJ17" i="1"/>
  <c r="AN16" i="1"/>
  <c r="AM16" i="1"/>
  <c r="AJ16" i="1"/>
  <c r="AN15" i="1"/>
  <c r="AM15" i="1"/>
  <c r="AJ15" i="1"/>
  <c r="AN14" i="1"/>
  <c r="AM14" i="1"/>
  <c r="AN13" i="1"/>
  <c r="AM13" i="1"/>
  <c r="AJ13" i="1"/>
  <c r="AN12" i="1"/>
  <c r="AM12" i="1"/>
  <c r="AJ12" i="1"/>
  <c r="AN11" i="1"/>
  <c r="AM11" i="1"/>
  <c r="AJ11" i="1"/>
  <c r="AN10" i="1"/>
  <c r="AM10" i="1"/>
  <c r="AJ10" i="1"/>
  <c r="AN9" i="1"/>
  <c r="AM9" i="1"/>
  <c r="AJ9" i="1"/>
  <c r="AN8" i="1"/>
  <c r="AM8" i="1"/>
</calcChain>
</file>

<file path=xl/sharedStrings.xml><?xml version="1.0" encoding="utf-8"?>
<sst xmlns="http://schemas.openxmlformats.org/spreadsheetml/2006/main" count="838" uniqueCount="75">
  <si>
    <t>M</t>
  </si>
  <si>
    <t>T</t>
  </si>
  <si>
    <t>W</t>
  </si>
  <si>
    <t>F</t>
  </si>
  <si>
    <t>S</t>
  </si>
  <si>
    <t>No of Days</t>
  </si>
  <si>
    <t>Present</t>
  </si>
  <si>
    <t>Leaves</t>
  </si>
  <si>
    <t>LWP</t>
  </si>
  <si>
    <t>Weekly Off</t>
  </si>
  <si>
    <t>Holidays</t>
  </si>
  <si>
    <t xml:space="preserve">Payble days </t>
  </si>
  <si>
    <t>Employee ID</t>
  </si>
  <si>
    <t>Employee Name</t>
  </si>
  <si>
    <t>DOJ</t>
  </si>
  <si>
    <t>DOExit</t>
  </si>
  <si>
    <t>ID 121</t>
  </si>
  <si>
    <t>Aditi Kulkarni</t>
  </si>
  <si>
    <t>P</t>
  </si>
  <si>
    <t>WO</t>
  </si>
  <si>
    <t>H</t>
  </si>
  <si>
    <t>HD</t>
  </si>
  <si>
    <t>C</t>
  </si>
  <si>
    <t>ID 144</t>
  </si>
  <si>
    <t>Rohan Patankar</t>
  </si>
  <si>
    <t>ID 150</t>
  </si>
  <si>
    <t>Vedant Shah</t>
  </si>
  <si>
    <t>ID 183</t>
  </si>
  <si>
    <t>Ishita Mehra</t>
  </si>
  <si>
    <t>ID 204</t>
  </si>
  <si>
    <t>Harshal Yadav</t>
  </si>
  <si>
    <t>L</t>
  </si>
  <si>
    <t>ID 364</t>
  </si>
  <si>
    <t>Shreya Deshpande</t>
  </si>
  <si>
    <t>ID 529</t>
  </si>
  <si>
    <t>Kunal Jagtap</t>
  </si>
  <si>
    <t>ID 577</t>
  </si>
  <si>
    <t>Mihika Soni</t>
  </si>
  <si>
    <t>Ex</t>
  </si>
  <si>
    <t>ID 643</t>
  </si>
  <si>
    <t>Parth Salunke</t>
  </si>
  <si>
    <t>ID 732</t>
  </si>
  <si>
    <t>Tanishka More</t>
  </si>
  <si>
    <t>ID 811</t>
  </si>
  <si>
    <t>Snehal Kulkarni</t>
  </si>
  <si>
    <t>ID 956</t>
  </si>
  <si>
    <t>Manasi Gokhale</t>
  </si>
  <si>
    <t>ID 1027</t>
  </si>
  <si>
    <t>Hrishikesh Patil</t>
  </si>
  <si>
    <t>ID 1198</t>
  </si>
  <si>
    <t>Juhi Wagh</t>
  </si>
  <si>
    <t>ID 1274</t>
  </si>
  <si>
    <t>Shantanu Desai</t>
  </si>
  <si>
    <t>ID 1349</t>
  </si>
  <si>
    <t>Prachi Ghadge</t>
  </si>
  <si>
    <t>ID 1420</t>
  </si>
  <si>
    <t>Viraj Kadam</t>
  </si>
  <si>
    <t>ID 1558</t>
  </si>
  <si>
    <t>Nandini Salve</t>
  </si>
  <si>
    <t>ID 1604</t>
  </si>
  <si>
    <t>Siddharth Pande</t>
  </si>
  <si>
    <t>ID 1675</t>
  </si>
  <si>
    <t>Rhea Karve</t>
  </si>
  <si>
    <t>ID 1702</t>
  </si>
  <si>
    <t>Jayant Borde</t>
  </si>
  <si>
    <t>ID 1786</t>
  </si>
  <si>
    <t>Krisha Purohit</t>
  </si>
  <si>
    <t>ID 1881</t>
  </si>
  <si>
    <t>Namrata Jagtap</t>
  </si>
  <si>
    <t>ID 1889</t>
  </si>
  <si>
    <t>Raghav Naik</t>
  </si>
  <si>
    <t>ID 1890</t>
  </si>
  <si>
    <t>Atharv Pawar</t>
  </si>
  <si>
    <t>ID 1988</t>
  </si>
  <si>
    <t>Shruti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</si>
</sst>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BB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right" vertical="top"/>
    </xf>
    <xf numFmtId="15" fontId="0" fillId="0" borderId="0" xfId="0" applyNumberForma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5"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/>
      </font>
      <alignment vertical="top" textRotation="0" indent="0" justifyLastLine="0" shrinkToFit="0" readingOrder="0"/>
    </dxf>
  </dxfs>
  <tableStyles count="0" defaultTableStyle="TableStyleMedium2" defaultPivotStyle="PivotStyleLight16"/>
  <colors>
    <mruColors>
      <color rgb="FFFFBBB9"/>
      <color rgb="FFFF96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7:D33" totalsRowShown="0" headerRowDxfId="4" dataDxfId="3">
  <autoFilter ref="A7:D33" xr:uid="{00000000-0009-0000-0100-000006000000}"/>
  <tableColumns count="4">
    <tableColumn id="1" xr3:uid="{00000000-0010-0000-0000-000001000000}" name="Employee ID" dataDxfId="2"/>
    <tableColumn id="2" xr3:uid="{00000000-0010-0000-0000-000002000000}" name="Employee Name"/>
    <tableColumn id="3" xr3:uid="{00000000-0010-0000-0000-000003000000}" name="DOJ" dataDxfId="1"/>
    <tableColumn id="4" xr3:uid="{00000000-0010-0000-0000-000004000000}" name="DOEx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O33"/>
  <sheetViews>
    <sheetView showGridLines="0" tabSelected="1" workbookViewId="0">
      <selection activeCell="V2" sqref="V2"/>
    </sheetView>
  </sheetViews>
  <sheetFormatPr defaultRowHeight="15"/>
  <cols>
    <col min="1" max="1" width="13.7109375" style="1" bestFit="1" customWidth="1"/>
    <col min="2" max="2" width="16.85546875" style="1" customWidth="1"/>
    <col min="3" max="4" width="11" style="1" customWidth="1"/>
    <col min="5" max="23" width="3.85546875" style="1" customWidth="1"/>
    <col min="24" max="24" width="4.42578125" style="1" customWidth="1"/>
    <col min="25" max="34" width="3.85546875" style="1" customWidth="1"/>
    <col min="35" max="16384" width="9.140625" style="1"/>
  </cols>
  <sheetData>
    <row r="2" spans="1:4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4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4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6" spans="1:41" ht="30">
      <c r="A6" s="11"/>
      <c r="B6" s="11"/>
      <c r="C6" s="11"/>
      <c r="D6" s="11"/>
      <c r="E6" s="13" t="s">
        <v>0</v>
      </c>
      <c r="F6" s="13" t="s">
        <v>1</v>
      </c>
      <c r="G6" s="13" t="s">
        <v>2</v>
      </c>
      <c r="H6" s="13" t="s">
        <v>1</v>
      </c>
      <c r="I6" s="13" t="s">
        <v>3</v>
      </c>
      <c r="J6" s="14" t="s">
        <v>4</v>
      </c>
      <c r="K6" s="14" t="s">
        <v>4</v>
      </c>
      <c r="L6" s="13" t="s">
        <v>0</v>
      </c>
      <c r="M6" s="13" t="s">
        <v>1</v>
      </c>
      <c r="N6" s="13" t="s">
        <v>2</v>
      </c>
      <c r="O6" s="13" t="s">
        <v>1</v>
      </c>
      <c r="P6" s="13" t="s">
        <v>3</v>
      </c>
      <c r="Q6" s="14" t="s">
        <v>4</v>
      </c>
      <c r="R6" s="14" t="s">
        <v>4</v>
      </c>
      <c r="S6" s="13" t="s">
        <v>0</v>
      </c>
      <c r="T6" s="13" t="s">
        <v>1</v>
      </c>
      <c r="U6" s="13" t="s">
        <v>2</v>
      </c>
      <c r="V6" s="13" t="s">
        <v>1</v>
      </c>
      <c r="W6" s="13" t="s">
        <v>3</v>
      </c>
      <c r="X6" s="14" t="s">
        <v>4</v>
      </c>
      <c r="Y6" s="14" t="s">
        <v>4</v>
      </c>
      <c r="Z6" s="13" t="s">
        <v>0</v>
      </c>
      <c r="AA6" s="13" t="s">
        <v>1</v>
      </c>
      <c r="AB6" s="13" t="s">
        <v>2</v>
      </c>
      <c r="AC6" s="13" t="s">
        <v>1</v>
      </c>
      <c r="AD6" s="13" t="s">
        <v>3</v>
      </c>
      <c r="AE6" s="14" t="s">
        <v>4</v>
      </c>
      <c r="AF6" s="14" t="s">
        <v>4</v>
      </c>
      <c r="AG6" s="13" t="s">
        <v>0</v>
      </c>
      <c r="AH6" s="13" t="s">
        <v>1</v>
      </c>
      <c r="AI6" s="15" t="s">
        <v>5</v>
      </c>
      <c r="AJ6" s="15" t="s">
        <v>6</v>
      </c>
      <c r="AK6" s="15" t="s">
        <v>7</v>
      </c>
      <c r="AL6" s="15" t="s">
        <v>8</v>
      </c>
      <c r="AM6" s="15" t="s">
        <v>9</v>
      </c>
      <c r="AN6" s="15" t="s">
        <v>10</v>
      </c>
      <c r="AO6" s="15" t="s">
        <v>11</v>
      </c>
    </row>
    <row r="7" spans="1:41">
      <c r="A7" s="11" t="s">
        <v>12</v>
      </c>
      <c r="B7" s="11" t="s">
        <v>13</v>
      </c>
      <c r="C7" s="11" t="s">
        <v>14</v>
      </c>
      <c r="D7" s="11" t="s">
        <v>15</v>
      </c>
      <c r="E7" s="16">
        <v>1</v>
      </c>
      <c r="F7" s="16">
        <v>2</v>
      </c>
      <c r="G7" s="16">
        <v>3</v>
      </c>
      <c r="H7" s="16">
        <v>4</v>
      </c>
      <c r="I7" s="16">
        <v>5</v>
      </c>
      <c r="J7" s="17">
        <v>6</v>
      </c>
      <c r="K7" s="17">
        <v>7</v>
      </c>
      <c r="L7" s="16">
        <v>8</v>
      </c>
      <c r="M7" s="16">
        <v>9</v>
      </c>
      <c r="N7" s="16">
        <v>10</v>
      </c>
      <c r="O7" s="16">
        <v>11</v>
      </c>
      <c r="P7" s="16">
        <v>12</v>
      </c>
      <c r="Q7" s="17">
        <v>13</v>
      </c>
      <c r="R7" s="17">
        <v>14</v>
      </c>
      <c r="S7" s="16">
        <v>15</v>
      </c>
      <c r="T7" s="16">
        <v>16</v>
      </c>
      <c r="U7" s="16">
        <v>17</v>
      </c>
      <c r="V7" s="16">
        <v>18</v>
      </c>
      <c r="W7" s="16">
        <v>19</v>
      </c>
      <c r="X7" s="17">
        <v>20</v>
      </c>
      <c r="Y7" s="17">
        <v>21</v>
      </c>
      <c r="Z7" s="16">
        <v>22</v>
      </c>
      <c r="AA7" s="16">
        <v>23</v>
      </c>
      <c r="AB7" s="16">
        <v>24</v>
      </c>
      <c r="AC7" s="16">
        <v>25</v>
      </c>
      <c r="AD7" s="16">
        <v>26</v>
      </c>
      <c r="AE7" s="17">
        <v>27</v>
      </c>
      <c r="AF7" s="17">
        <v>28</v>
      </c>
      <c r="AG7" s="16">
        <v>29</v>
      </c>
      <c r="AH7" s="16">
        <v>30</v>
      </c>
      <c r="AI7" s="16"/>
      <c r="AJ7" s="16"/>
      <c r="AK7" s="16"/>
      <c r="AL7" s="16"/>
      <c r="AM7" s="16"/>
      <c r="AN7" s="16"/>
      <c r="AO7" s="16"/>
    </row>
    <row r="8" spans="1:41">
      <c r="A8" s="1" t="s">
        <v>16</v>
      </c>
      <c r="B8" t="s">
        <v>17</v>
      </c>
      <c r="C8" s="9">
        <v>44241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2" t="s">
        <v>19</v>
      </c>
      <c r="K8" s="2" t="s">
        <v>19</v>
      </c>
      <c r="L8" s="5" t="s">
        <v>20</v>
      </c>
      <c r="M8" s="6" t="s">
        <v>21</v>
      </c>
      <c r="N8" s="4" t="s">
        <v>18</v>
      </c>
      <c r="O8" s="4" t="s">
        <v>18</v>
      </c>
      <c r="P8" s="4" t="s">
        <v>18</v>
      </c>
      <c r="Q8" s="2" t="s">
        <v>19</v>
      </c>
      <c r="R8" s="2" t="s">
        <v>19</v>
      </c>
      <c r="S8" s="4" t="s">
        <v>18</v>
      </c>
      <c r="T8" s="7" t="s">
        <v>22</v>
      </c>
      <c r="U8" s="4" t="s">
        <v>18</v>
      </c>
      <c r="V8" s="4" t="s">
        <v>18</v>
      </c>
      <c r="W8" s="4" t="s">
        <v>18</v>
      </c>
      <c r="X8" s="2" t="s">
        <v>19</v>
      </c>
      <c r="Y8" s="2" t="s">
        <v>19</v>
      </c>
      <c r="Z8" s="4" t="s">
        <v>18</v>
      </c>
      <c r="AA8" s="4" t="s">
        <v>18</v>
      </c>
      <c r="AB8" s="4" t="s">
        <v>18</v>
      </c>
      <c r="AC8" s="4" t="s">
        <v>18</v>
      </c>
      <c r="AD8" s="4" t="s">
        <v>18</v>
      </c>
      <c r="AE8" s="2" t="s">
        <v>19</v>
      </c>
      <c r="AF8" s="2" t="s">
        <v>19</v>
      </c>
      <c r="AG8" s="4" t="s">
        <v>18</v>
      </c>
      <c r="AH8" s="4" t="s">
        <v>18</v>
      </c>
      <c r="AI8" s="3">
        <v>30</v>
      </c>
      <c r="AJ8" s="3">
        <f>COUNTIF(E8:AH8,"P")</f>
        <v>19</v>
      </c>
      <c r="AK8" s="3">
        <v>0.5</v>
      </c>
      <c r="AL8" s="3">
        <v>0</v>
      </c>
      <c r="AM8" s="3">
        <f>COUNTIF(E8:AH8,"WO")</f>
        <v>8</v>
      </c>
      <c r="AN8" s="3">
        <f>COUNTIF(E8:AH8,"H")</f>
        <v>1</v>
      </c>
      <c r="AO8" s="8">
        <v>30</v>
      </c>
    </row>
    <row r="9" spans="1:41">
      <c r="A9" s="1" t="s">
        <v>23</v>
      </c>
      <c r="B9" t="s">
        <v>24</v>
      </c>
      <c r="C9" s="9">
        <v>44319</v>
      </c>
      <c r="E9" s="4" t="s">
        <v>18</v>
      </c>
      <c r="F9" s="4" t="s">
        <v>18</v>
      </c>
      <c r="G9" s="4" t="s">
        <v>18</v>
      </c>
      <c r="H9" s="4" t="s">
        <v>18</v>
      </c>
      <c r="I9" s="4" t="s">
        <v>18</v>
      </c>
      <c r="J9" s="2" t="s">
        <v>19</v>
      </c>
      <c r="K9" s="2" t="s">
        <v>19</v>
      </c>
      <c r="L9" s="5" t="s">
        <v>20</v>
      </c>
      <c r="M9" s="4" t="s">
        <v>18</v>
      </c>
      <c r="N9" s="4" t="s">
        <v>18</v>
      </c>
      <c r="O9" s="4" t="s">
        <v>18</v>
      </c>
      <c r="P9" s="4" t="s">
        <v>18</v>
      </c>
      <c r="Q9" s="2" t="s">
        <v>19</v>
      </c>
      <c r="R9" s="2" t="s">
        <v>19</v>
      </c>
      <c r="S9" s="4" t="s">
        <v>18</v>
      </c>
      <c r="T9" s="4" t="s">
        <v>18</v>
      </c>
      <c r="U9" s="4" t="s">
        <v>18</v>
      </c>
      <c r="V9" s="4" t="s">
        <v>18</v>
      </c>
      <c r="W9" s="4" t="s">
        <v>18</v>
      </c>
      <c r="X9" s="2" t="s">
        <v>19</v>
      </c>
      <c r="Y9" s="2" t="s">
        <v>19</v>
      </c>
      <c r="Z9" s="4" t="s">
        <v>18</v>
      </c>
      <c r="AA9" s="4" t="s">
        <v>18</v>
      </c>
      <c r="AB9" s="4" t="s">
        <v>18</v>
      </c>
      <c r="AC9" s="4" t="s">
        <v>18</v>
      </c>
      <c r="AD9" s="4" t="s">
        <v>18</v>
      </c>
      <c r="AE9" s="2" t="s">
        <v>19</v>
      </c>
      <c r="AF9" s="2" t="s">
        <v>19</v>
      </c>
      <c r="AG9" s="4" t="s">
        <v>18</v>
      </c>
      <c r="AH9" s="4" t="s">
        <v>18</v>
      </c>
      <c r="AI9" s="3">
        <v>30</v>
      </c>
      <c r="AJ9" s="3">
        <f t="shared" ref="AJ9:AJ33" si="0">COUNTIF(E9:AH9,"P")</f>
        <v>21</v>
      </c>
      <c r="AK9" s="3">
        <f>COUNTIF(E9:AH9,"L")</f>
        <v>0</v>
      </c>
      <c r="AL9" s="3">
        <v>0</v>
      </c>
      <c r="AM9" s="3">
        <f t="shared" ref="AM9:AM33" si="1">COUNTIF(E9:AH9,"WO")</f>
        <v>8</v>
      </c>
      <c r="AN9" s="3">
        <f t="shared" ref="AN9:AN33" si="2">COUNTIF(E9:AH9,"H")</f>
        <v>1</v>
      </c>
      <c r="AO9" s="3">
        <v>30</v>
      </c>
    </row>
    <row r="10" spans="1:41">
      <c r="A10" s="1" t="s">
        <v>25</v>
      </c>
      <c r="B10" t="s">
        <v>26</v>
      </c>
      <c r="C10" s="9">
        <v>44435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2" t="s">
        <v>19</v>
      </c>
      <c r="K10" s="2" t="s">
        <v>19</v>
      </c>
      <c r="L10" s="5" t="s">
        <v>20</v>
      </c>
      <c r="M10" s="4" t="s">
        <v>18</v>
      </c>
      <c r="N10" s="4" t="s">
        <v>18</v>
      </c>
      <c r="O10" s="4" t="s">
        <v>18</v>
      </c>
      <c r="P10" s="4" t="s">
        <v>18</v>
      </c>
      <c r="Q10" s="2" t="s">
        <v>19</v>
      </c>
      <c r="R10" s="2" t="s">
        <v>19</v>
      </c>
      <c r="S10" s="4" t="s">
        <v>18</v>
      </c>
      <c r="T10" s="4" t="s">
        <v>18</v>
      </c>
      <c r="U10" s="4" t="s">
        <v>18</v>
      </c>
      <c r="V10" s="4" t="s">
        <v>18</v>
      </c>
      <c r="W10" s="4" t="s">
        <v>18</v>
      </c>
      <c r="X10" s="2" t="s">
        <v>19</v>
      </c>
      <c r="Y10" s="2" t="s">
        <v>19</v>
      </c>
      <c r="Z10" s="4" t="s">
        <v>18</v>
      </c>
      <c r="AA10" s="4" t="s">
        <v>18</v>
      </c>
      <c r="AB10" s="4" t="s">
        <v>18</v>
      </c>
      <c r="AC10" s="4" t="s">
        <v>18</v>
      </c>
      <c r="AD10" s="4" t="s">
        <v>18</v>
      </c>
      <c r="AE10" s="2" t="s">
        <v>19</v>
      </c>
      <c r="AF10" s="2" t="s">
        <v>19</v>
      </c>
      <c r="AG10" s="4" t="s">
        <v>18</v>
      </c>
      <c r="AH10" s="4" t="s">
        <v>18</v>
      </c>
      <c r="AI10" s="3">
        <v>30</v>
      </c>
      <c r="AJ10" s="3">
        <f t="shared" si="0"/>
        <v>21</v>
      </c>
      <c r="AK10" s="3">
        <f t="shared" ref="AK10:AK33" si="3">COUNTIF(E10:AH10,"L")</f>
        <v>0</v>
      </c>
      <c r="AL10" s="3">
        <v>0</v>
      </c>
      <c r="AM10" s="3">
        <f t="shared" si="1"/>
        <v>8</v>
      </c>
      <c r="AN10" s="3">
        <f t="shared" si="2"/>
        <v>1</v>
      </c>
      <c r="AO10" s="3">
        <v>30</v>
      </c>
    </row>
    <row r="11" spans="1:41">
      <c r="A11" s="1" t="s">
        <v>27</v>
      </c>
      <c r="B11" t="s">
        <v>28</v>
      </c>
      <c r="C11" s="9">
        <v>44541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2" t="s">
        <v>19</v>
      </c>
      <c r="K11" s="2" t="s">
        <v>19</v>
      </c>
      <c r="L11" s="5" t="s">
        <v>20</v>
      </c>
      <c r="M11" s="4" t="s">
        <v>18</v>
      </c>
      <c r="N11" s="4" t="s">
        <v>18</v>
      </c>
      <c r="O11" s="4" t="s">
        <v>18</v>
      </c>
      <c r="P11" s="4" t="s">
        <v>18</v>
      </c>
      <c r="Q11" s="2" t="s">
        <v>19</v>
      </c>
      <c r="R11" s="2" t="s">
        <v>19</v>
      </c>
      <c r="S11" s="4" t="s">
        <v>18</v>
      </c>
      <c r="T11" s="4" t="s">
        <v>18</v>
      </c>
      <c r="U11" s="4" t="s">
        <v>18</v>
      </c>
      <c r="V11" s="4" t="s">
        <v>18</v>
      </c>
      <c r="W11" s="4" t="s">
        <v>18</v>
      </c>
      <c r="X11" s="2" t="s">
        <v>19</v>
      </c>
      <c r="Y11" s="2" t="s">
        <v>19</v>
      </c>
      <c r="Z11" s="4" t="s">
        <v>18</v>
      </c>
      <c r="AA11" s="4" t="s">
        <v>18</v>
      </c>
      <c r="AB11" s="4" t="s">
        <v>18</v>
      </c>
      <c r="AC11" s="4" t="s">
        <v>18</v>
      </c>
      <c r="AD11" s="4" t="s">
        <v>18</v>
      </c>
      <c r="AE11" s="2" t="s">
        <v>19</v>
      </c>
      <c r="AF11" s="2" t="s">
        <v>19</v>
      </c>
      <c r="AG11" s="4" t="s">
        <v>18</v>
      </c>
      <c r="AH11" s="4" t="s">
        <v>18</v>
      </c>
      <c r="AI11" s="3">
        <v>30</v>
      </c>
      <c r="AJ11" s="3">
        <f t="shared" si="0"/>
        <v>21</v>
      </c>
      <c r="AK11" s="3">
        <f t="shared" si="3"/>
        <v>0</v>
      </c>
      <c r="AL11" s="3">
        <v>0</v>
      </c>
      <c r="AM11" s="3">
        <f t="shared" si="1"/>
        <v>8</v>
      </c>
      <c r="AN11" s="3">
        <f t="shared" si="2"/>
        <v>1</v>
      </c>
      <c r="AO11" s="3">
        <v>30</v>
      </c>
    </row>
    <row r="12" spans="1:41">
      <c r="A12" s="1" t="s">
        <v>29</v>
      </c>
      <c r="B12" t="s">
        <v>30</v>
      </c>
      <c r="C12" s="9">
        <v>44629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2" t="s">
        <v>19</v>
      </c>
      <c r="K12" s="2" t="s">
        <v>19</v>
      </c>
      <c r="L12" s="5" t="s">
        <v>20</v>
      </c>
      <c r="M12" s="4" t="s">
        <v>18</v>
      </c>
      <c r="N12" s="6" t="s">
        <v>31</v>
      </c>
      <c r="O12" s="4" t="s">
        <v>18</v>
      </c>
      <c r="P12" s="4" t="s">
        <v>18</v>
      </c>
      <c r="Q12" s="2" t="s">
        <v>19</v>
      </c>
      <c r="R12" s="2" t="s">
        <v>19</v>
      </c>
      <c r="S12" s="4" t="s">
        <v>18</v>
      </c>
      <c r="T12" s="4" t="s">
        <v>18</v>
      </c>
      <c r="U12" s="4" t="s">
        <v>18</v>
      </c>
      <c r="V12" s="4" t="s">
        <v>18</v>
      </c>
      <c r="W12" s="4" t="s">
        <v>18</v>
      </c>
      <c r="X12" s="2" t="s">
        <v>19</v>
      </c>
      <c r="Y12" s="2" t="s">
        <v>19</v>
      </c>
      <c r="Z12" s="4" t="s">
        <v>18</v>
      </c>
      <c r="AA12" s="6" t="s">
        <v>31</v>
      </c>
      <c r="AB12" s="4" t="s">
        <v>18</v>
      </c>
      <c r="AC12" s="4" t="s">
        <v>18</v>
      </c>
      <c r="AD12" s="4" t="s">
        <v>18</v>
      </c>
      <c r="AE12" s="2" t="s">
        <v>19</v>
      </c>
      <c r="AF12" s="2" t="s">
        <v>19</v>
      </c>
      <c r="AG12" s="4" t="s">
        <v>18</v>
      </c>
      <c r="AH12" s="4" t="s">
        <v>18</v>
      </c>
      <c r="AI12" s="3">
        <v>30</v>
      </c>
      <c r="AJ12" s="3">
        <f t="shared" si="0"/>
        <v>19</v>
      </c>
      <c r="AK12" s="3">
        <f t="shared" si="3"/>
        <v>2</v>
      </c>
      <c r="AL12" s="3">
        <v>0</v>
      </c>
      <c r="AM12" s="3">
        <f t="shared" si="1"/>
        <v>8</v>
      </c>
      <c r="AN12" s="3">
        <f t="shared" si="2"/>
        <v>1</v>
      </c>
      <c r="AO12" s="3">
        <v>30</v>
      </c>
    </row>
    <row r="13" spans="1:41">
      <c r="A13" s="1" t="s">
        <v>32</v>
      </c>
      <c r="B13" t="s">
        <v>33</v>
      </c>
      <c r="C13" s="9">
        <v>44764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2" t="s">
        <v>19</v>
      </c>
      <c r="K13" s="2" t="s">
        <v>19</v>
      </c>
      <c r="L13" s="5" t="s">
        <v>20</v>
      </c>
      <c r="M13" s="4" t="s">
        <v>18</v>
      </c>
      <c r="N13" s="4" t="s">
        <v>18</v>
      </c>
      <c r="O13" s="4" t="s">
        <v>18</v>
      </c>
      <c r="P13" s="4" t="s">
        <v>18</v>
      </c>
      <c r="Q13" s="2" t="s">
        <v>19</v>
      </c>
      <c r="R13" s="2" t="s">
        <v>19</v>
      </c>
      <c r="S13" s="4" t="s">
        <v>18</v>
      </c>
      <c r="T13" s="4" t="s">
        <v>18</v>
      </c>
      <c r="U13" s="4" t="s">
        <v>18</v>
      </c>
      <c r="V13" s="4" t="s">
        <v>18</v>
      </c>
      <c r="W13" s="4" t="s">
        <v>18</v>
      </c>
      <c r="X13" s="2" t="s">
        <v>19</v>
      </c>
      <c r="Y13" s="2" t="s">
        <v>19</v>
      </c>
      <c r="Z13" s="4" t="s">
        <v>18</v>
      </c>
      <c r="AA13" s="4" t="s">
        <v>18</v>
      </c>
      <c r="AB13" s="4" t="s">
        <v>18</v>
      </c>
      <c r="AC13" s="4" t="s">
        <v>18</v>
      </c>
      <c r="AD13" s="4" t="s">
        <v>18</v>
      </c>
      <c r="AE13" s="2" t="s">
        <v>19</v>
      </c>
      <c r="AF13" s="2" t="s">
        <v>19</v>
      </c>
      <c r="AG13" s="4" t="s">
        <v>18</v>
      </c>
      <c r="AH13" s="4" t="s">
        <v>18</v>
      </c>
      <c r="AI13" s="3">
        <v>30</v>
      </c>
      <c r="AJ13" s="3">
        <f t="shared" si="0"/>
        <v>21</v>
      </c>
      <c r="AK13" s="3">
        <f t="shared" si="3"/>
        <v>0</v>
      </c>
      <c r="AL13" s="3">
        <v>0</v>
      </c>
      <c r="AM13" s="3">
        <f t="shared" si="1"/>
        <v>8</v>
      </c>
      <c r="AN13" s="3">
        <f t="shared" si="2"/>
        <v>1</v>
      </c>
      <c r="AO13" s="3">
        <v>30</v>
      </c>
    </row>
    <row r="14" spans="1:41">
      <c r="A14" s="1" t="s">
        <v>34</v>
      </c>
      <c r="B14" t="s">
        <v>35</v>
      </c>
      <c r="C14" s="9">
        <v>44864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2" t="s">
        <v>19</v>
      </c>
      <c r="K14" s="2" t="s">
        <v>19</v>
      </c>
      <c r="L14" s="5" t="s">
        <v>20</v>
      </c>
      <c r="M14" s="4" t="s">
        <v>18</v>
      </c>
      <c r="N14" s="4" t="s">
        <v>18</v>
      </c>
      <c r="O14" s="4" t="s">
        <v>18</v>
      </c>
      <c r="P14" s="4" t="s">
        <v>18</v>
      </c>
      <c r="Q14" s="2" t="s">
        <v>19</v>
      </c>
      <c r="R14" s="2" t="s">
        <v>19</v>
      </c>
      <c r="S14" s="4" t="s">
        <v>18</v>
      </c>
      <c r="T14" s="4" t="s">
        <v>18</v>
      </c>
      <c r="U14" s="4" t="s">
        <v>18</v>
      </c>
      <c r="V14" s="4" t="s">
        <v>18</v>
      </c>
      <c r="W14" s="4" t="s">
        <v>18</v>
      </c>
      <c r="X14" s="2" t="s">
        <v>19</v>
      </c>
      <c r="Y14" s="2" t="s">
        <v>19</v>
      </c>
      <c r="Z14" s="4" t="s">
        <v>18</v>
      </c>
      <c r="AA14" s="4" t="s">
        <v>18</v>
      </c>
      <c r="AB14" s="4" t="s">
        <v>18</v>
      </c>
      <c r="AC14" s="4" t="s">
        <v>18</v>
      </c>
      <c r="AD14" s="4" t="s">
        <v>18</v>
      </c>
      <c r="AE14" s="2" t="s">
        <v>19</v>
      </c>
      <c r="AF14" s="2" t="s">
        <v>19</v>
      </c>
      <c r="AG14" s="4" t="s">
        <v>18</v>
      </c>
      <c r="AH14" s="6" t="s">
        <v>21</v>
      </c>
      <c r="AI14" s="3">
        <v>30</v>
      </c>
      <c r="AJ14" s="3">
        <f t="shared" si="0"/>
        <v>20</v>
      </c>
      <c r="AK14" s="3">
        <v>0.5</v>
      </c>
      <c r="AL14" s="3">
        <v>0</v>
      </c>
      <c r="AM14" s="3">
        <f t="shared" si="1"/>
        <v>8</v>
      </c>
      <c r="AN14" s="3">
        <f t="shared" si="2"/>
        <v>1</v>
      </c>
      <c r="AO14" s="3">
        <v>30</v>
      </c>
    </row>
    <row r="15" spans="1:41">
      <c r="A15" s="1" t="s">
        <v>36</v>
      </c>
      <c r="B15" t="s">
        <v>37</v>
      </c>
      <c r="C15" s="9">
        <v>44944</v>
      </c>
      <c r="D15" s="9">
        <v>45916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2" t="s">
        <v>19</v>
      </c>
      <c r="K15" s="2" t="s">
        <v>19</v>
      </c>
      <c r="L15" s="5" t="s">
        <v>20</v>
      </c>
      <c r="M15" s="4" t="s">
        <v>18</v>
      </c>
      <c r="N15" s="4" t="s">
        <v>18</v>
      </c>
      <c r="O15" s="4" t="s">
        <v>18</v>
      </c>
      <c r="P15" s="4" t="s">
        <v>18</v>
      </c>
      <c r="Q15" s="2" t="s">
        <v>19</v>
      </c>
      <c r="R15" s="2" t="s">
        <v>19</v>
      </c>
      <c r="S15" s="4" t="s">
        <v>18</v>
      </c>
      <c r="T15" s="4" t="s">
        <v>18</v>
      </c>
      <c r="U15" s="5" t="s">
        <v>38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3">
        <v>30</v>
      </c>
      <c r="AJ15" s="3">
        <f t="shared" si="0"/>
        <v>11</v>
      </c>
      <c r="AK15" s="3">
        <f t="shared" si="3"/>
        <v>0</v>
      </c>
      <c r="AL15" s="3">
        <v>0</v>
      </c>
      <c r="AM15" s="3">
        <f t="shared" si="1"/>
        <v>4</v>
      </c>
      <c r="AN15" s="3">
        <f t="shared" si="2"/>
        <v>1</v>
      </c>
      <c r="AO15" s="8">
        <v>15</v>
      </c>
    </row>
    <row r="16" spans="1:41">
      <c r="A16" s="1" t="s">
        <v>39</v>
      </c>
      <c r="B16" t="s">
        <v>40</v>
      </c>
      <c r="C16" s="9">
        <v>45021</v>
      </c>
      <c r="E16" s="4" t="s">
        <v>18</v>
      </c>
      <c r="F16" s="4" t="s">
        <v>18</v>
      </c>
      <c r="G16" s="6" t="s">
        <v>21</v>
      </c>
      <c r="H16" s="4" t="s">
        <v>18</v>
      </c>
      <c r="I16" s="4" t="s">
        <v>18</v>
      </c>
      <c r="J16" s="2" t="s">
        <v>19</v>
      </c>
      <c r="K16" s="2" t="s">
        <v>19</v>
      </c>
      <c r="L16" s="5" t="s">
        <v>20</v>
      </c>
      <c r="M16" s="4" t="s">
        <v>18</v>
      </c>
      <c r="N16" s="4" t="s">
        <v>18</v>
      </c>
      <c r="O16" s="4" t="s">
        <v>18</v>
      </c>
      <c r="P16" s="4" t="s">
        <v>18</v>
      </c>
      <c r="Q16" s="2" t="s">
        <v>19</v>
      </c>
      <c r="R16" s="2" t="s">
        <v>19</v>
      </c>
      <c r="S16" s="4" t="s">
        <v>18</v>
      </c>
      <c r="T16" s="4" t="s">
        <v>18</v>
      </c>
      <c r="U16" s="4" t="s">
        <v>18</v>
      </c>
      <c r="V16" s="4" t="s">
        <v>18</v>
      </c>
      <c r="W16" s="4" t="s">
        <v>18</v>
      </c>
      <c r="X16" s="2" t="s">
        <v>19</v>
      </c>
      <c r="Y16" s="2" t="s">
        <v>19</v>
      </c>
      <c r="Z16" s="4" t="s">
        <v>18</v>
      </c>
      <c r="AA16" s="4" t="s">
        <v>18</v>
      </c>
      <c r="AB16" s="4" t="s">
        <v>18</v>
      </c>
      <c r="AC16" s="4" t="s">
        <v>18</v>
      </c>
      <c r="AD16" s="4" t="s">
        <v>18</v>
      </c>
      <c r="AE16" s="2" t="s">
        <v>19</v>
      </c>
      <c r="AF16" s="2" t="s">
        <v>19</v>
      </c>
      <c r="AG16" s="4" t="s">
        <v>18</v>
      </c>
      <c r="AH16" s="4" t="s">
        <v>18</v>
      </c>
      <c r="AI16" s="3">
        <v>30</v>
      </c>
      <c r="AJ16" s="3">
        <f t="shared" si="0"/>
        <v>20</v>
      </c>
      <c r="AK16" s="3">
        <v>0.5</v>
      </c>
      <c r="AL16" s="3">
        <v>0</v>
      </c>
      <c r="AM16" s="3">
        <f t="shared" si="1"/>
        <v>8</v>
      </c>
      <c r="AN16" s="3">
        <f t="shared" si="2"/>
        <v>1</v>
      </c>
      <c r="AO16" s="3">
        <v>30</v>
      </c>
    </row>
    <row r="17" spans="1:41">
      <c r="A17" s="1" t="s">
        <v>41</v>
      </c>
      <c r="B17" t="s">
        <v>42</v>
      </c>
      <c r="C17" s="9">
        <v>45198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2" t="s">
        <v>19</v>
      </c>
      <c r="K17" s="2" t="s">
        <v>19</v>
      </c>
      <c r="L17" s="5" t="s">
        <v>20</v>
      </c>
      <c r="M17" s="4" t="s">
        <v>18</v>
      </c>
      <c r="N17" s="4" t="s">
        <v>18</v>
      </c>
      <c r="O17" s="4" t="s">
        <v>18</v>
      </c>
      <c r="P17" s="4" t="s">
        <v>18</v>
      </c>
      <c r="Q17" s="2" t="s">
        <v>19</v>
      </c>
      <c r="R17" s="2" t="s">
        <v>19</v>
      </c>
      <c r="S17" s="4" t="s">
        <v>18</v>
      </c>
      <c r="T17" s="4" t="s">
        <v>18</v>
      </c>
      <c r="U17" s="4" t="s">
        <v>18</v>
      </c>
      <c r="V17" s="4" t="s">
        <v>18</v>
      </c>
      <c r="W17" s="4" t="s">
        <v>18</v>
      </c>
      <c r="X17" s="2" t="s">
        <v>19</v>
      </c>
      <c r="Y17" s="2" t="s">
        <v>19</v>
      </c>
      <c r="Z17" s="6" t="s">
        <v>31</v>
      </c>
      <c r="AA17" s="4" t="s">
        <v>18</v>
      </c>
      <c r="AB17" s="4" t="s">
        <v>18</v>
      </c>
      <c r="AC17" s="4" t="s">
        <v>18</v>
      </c>
      <c r="AD17" s="4" t="s">
        <v>18</v>
      </c>
      <c r="AE17" s="2" t="s">
        <v>19</v>
      </c>
      <c r="AF17" s="2" t="s">
        <v>19</v>
      </c>
      <c r="AG17" s="4" t="s">
        <v>18</v>
      </c>
      <c r="AH17" s="4" t="s">
        <v>18</v>
      </c>
      <c r="AI17" s="3">
        <v>30</v>
      </c>
      <c r="AJ17" s="3">
        <f t="shared" si="0"/>
        <v>20</v>
      </c>
      <c r="AK17" s="3">
        <f t="shared" si="3"/>
        <v>1</v>
      </c>
      <c r="AL17" s="3">
        <v>0</v>
      </c>
      <c r="AM17" s="3">
        <f t="shared" si="1"/>
        <v>8</v>
      </c>
      <c r="AN17" s="3">
        <f t="shared" si="2"/>
        <v>1</v>
      </c>
      <c r="AO17" s="3">
        <v>30</v>
      </c>
    </row>
    <row r="18" spans="1:41">
      <c r="A18" s="1" t="s">
        <v>43</v>
      </c>
      <c r="B18" t="s">
        <v>44</v>
      </c>
      <c r="C18" s="9">
        <v>45334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2" t="s">
        <v>19</v>
      </c>
      <c r="K18" s="2" t="s">
        <v>19</v>
      </c>
      <c r="L18" s="5" t="s">
        <v>20</v>
      </c>
      <c r="M18" s="4" t="s">
        <v>18</v>
      </c>
      <c r="N18" s="4" t="s">
        <v>18</v>
      </c>
      <c r="O18" s="4" t="s">
        <v>18</v>
      </c>
      <c r="P18" s="4" t="s">
        <v>18</v>
      </c>
      <c r="Q18" s="2" t="s">
        <v>19</v>
      </c>
      <c r="R18" s="2" t="s">
        <v>19</v>
      </c>
      <c r="S18" s="4" t="s">
        <v>18</v>
      </c>
      <c r="T18" s="4" t="s">
        <v>18</v>
      </c>
      <c r="U18" s="6" t="s">
        <v>8</v>
      </c>
      <c r="V18" s="4" t="s">
        <v>18</v>
      </c>
      <c r="W18" s="4" t="s">
        <v>18</v>
      </c>
      <c r="X18" s="2" t="s">
        <v>19</v>
      </c>
      <c r="Y18" s="2" t="s">
        <v>19</v>
      </c>
      <c r="Z18" s="4" t="s">
        <v>18</v>
      </c>
      <c r="AA18" s="4" t="s">
        <v>18</v>
      </c>
      <c r="AB18" s="4" t="s">
        <v>18</v>
      </c>
      <c r="AC18" s="4" t="s">
        <v>18</v>
      </c>
      <c r="AD18" s="4" t="s">
        <v>18</v>
      </c>
      <c r="AE18" s="2" t="s">
        <v>19</v>
      </c>
      <c r="AF18" s="2" t="s">
        <v>19</v>
      </c>
      <c r="AG18" s="4" t="s">
        <v>18</v>
      </c>
      <c r="AH18" s="4" t="s">
        <v>18</v>
      </c>
      <c r="AI18" s="3">
        <v>30</v>
      </c>
      <c r="AJ18" s="3">
        <f t="shared" si="0"/>
        <v>20</v>
      </c>
      <c r="AK18" s="3">
        <v>0</v>
      </c>
      <c r="AL18" s="3">
        <v>1</v>
      </c>
      <c r="AM18" s="3">
        <f t="shared" si="1"/>
        <v>8</v>
      </c>
      <c r="AN18" s="3">
        <f t="shared" si="2"/>
        <v>1</v>
      </c>
      <c r="AO18" s="8">
        <v>29</v>
      </c>
    </row>
    <row r="19" spans="1:41">
      <c r="A19" s="1" t="s">
        <v>45</v>
      </c>
      <c r="B19" t="s">
        <v>46</v>
      </c>
      <c r="C19" s="9">
        <v>45469</v>
      </c>
      <c r="E19" s="4" t="s">
        <v>18</v>
      </c>
      <c r="F19" s="4" t="s">
        <v>18</v>
      </c>
      <c r="G19" s="4" t="s">
        <v>18</v>
      </c>
      <c r="H19" s="4" t="s">
        <v>18</v>
      </c>
      <c r="I19" s="4" t="s">
        <v>18</v>
      </c>
      <c r="J19" s="2" t="s">
        <v>19</v>
      </c>
      <c r="K19" s="2" t="s">
        <v>19</v>
      </c>
      <c r="L19" s="5" t="s">
        <v>20</v>
      </c>
      <c r="M19" s="4" t="s">
        <v>18</v>
      </c>
      <c r="N19" s="4" t="s">
        <v>18</v>
      </c>
      <c r="O19" s="7" t="s">
        <v>22</v>
      </c>
      <c r="P19" s="4" t="s">
        <v>18</v>
      </c>
      <c r="Q19" s="2" t="s">
        <v>19</v>
      </c>
      <c r="R19" s="2" t="s">
        <v>19</v>
      </c>
      <c r="S19" s="4" t="s">
        <v>18</v>
      </c>
      <c r="T19" s="4" t="s">
        <v>18</v>
      </c>
      <c r="U19" s="4" t="s">
        <v>18</v>
      </c>
      <c r="V19" s="4" t="s">
        <v>18</v>
      </c>
      <c r="W19" s="4" t="s">
        <v>18</v>
      </c>
      <c r="X19" s="2" t="s">
        <v>19</v>
      </c>
      <c r="Y19" s="2" t="s">
        <v>19</v>
      </c>
      <c r="Z19" s="4" t="s">
        <v>18</v>
      </c>
      <c r="AA19" s="4" t="s">
        <v>18</v>
      </c>
      <c r="AB19" s="4" t="s">
        <v>18</v>
      </c>
      <c r="AC19" s="4" t="s">
        <v>18</v>
      </c>
      <c r="AD19" s="4" t="s">
        <v>18</v>
      </c>
      <c r="AE19" s="2" t="s">
        <v>19</v>
      </c>
      <c r="AF19" s="2" t="s">
        <v>19</v>
      </c>
      <c r="AG19" s="4" t="s">
        <v>18</v>
      </c>
      <c r="AH19" s="4" t="s">
        <v>18</v>
      </c>
      <c r="AI19" s="3">
        <v>30</v>
      </c>
      <c r="AJ19" s="3">
        <f t="shared" si="0"/>
        <v>20</v>
      </c>
      <c r="AK19" s="3">
        <f t="shared" si="3"/>
        <v>0</v>
      </c>
      <c r="AL19" s="3">
        <v>0</v>
      </c>
      <c r="AM19" s="3">
        <f t="shared" si="1"/>
        <v>8</v>
      </c>
      <c r="AN19" s="3">
        <f t="shared" si="2"/>
        <v>1</v>
      </c>
      <c r="AO19" s="8">
        <v>30</v>
      </c>
    </row>
    <row r="20" spans="1:41">
      <c r="A20" s="1" t="s">
        <v>47</v>
      </c>
      <c r="B20" t="s">
        <v>48</v>
      </c>
      <c r="C20" s="9">
        <v>45603</v>
      </c>
      <c r="E20" s="4" t="s">
        <v>18</v>
      </c>
      <c r="F20" s="4" t="s">
        <v>18</v>
      </c>
      <c r="G20" s="4" t="s">
        <v>18</v>
      </c>
      <c r="H20" s="4" t="s">
        <v>18</v>
      </c>
      <c r="I20" s="4" t="s">
        <v>18</v>
      </c>
      <c r="J20" s="2" t="s">
        <v>19</v>
      </c>
      <c r="K20" s="2" t="s">
        <v>19</v>
      </c>
      <c r="L20" s="5" t="s">
        <v>20</v>
      </c>
      <c r="M20" s="4" t="s">
        <v>18</v>
      </c>
      <c r="N20" s="4" t="s">
        <v>18</v>
      </c>
      <c r="O20" s="4" t="s">
        <v>18</v>
      </c>
      <c r="P20" s="4" t="s">
        <v>18</v>
      </c>
      <c r="Q20" s="2" t="s">
        <v>19</v>
      </c>
      <c r="R20" s="2" t="s">
        <v>19</v>
      </c>
      <c r="S20" s="4" t="s">
        <v>18</v>
      </c>
      <c r="T20" s="4" t="s">
        <v>18</v>
      </c>
      <c r="U20" s="4" t="s">
        <v>18</v>
      </c>
      <c r="V20" s="4" t="s">
        <v>18</v>
      </c>
      <c r="W20" s="4" t="s">
        <v>18</v>
      </c>
      <c r="X20" s="2" t="s">
        <v>19</v>
      </c>
      <c r="Y20" s="2" t="s">
        <v>19</v>
      </c>
      <c r="Z20" s="4" t="s">
        <v>18</v>
      </c>
      <c r="AA20" s="4" t="s">
        <v>18</v>
      </c>
      <c r="AB20" s="4" t="s">
        <v>18</v>
      </c>
      <c r="AC20" s="4" t="s">
        <v>18</v>
      </c>
      <c r="AD20" s="6" t="s">
        <v>21</v>
      </c>
      <c r="AE20" s="2" t="s">
        <v>19</v>
      </c>
      <c r="AF20" s="2" t="s">
        <v>19</v>
      </c>
      <c r="AG20" s="4" t="s">
        <v>18</v>
      </c>
      <c r="AH20" s="4" t="s">
        <v>18</v>
      </c>
      <c r="AI20" s="3">
        <v>30</v>
      </c>
      <c r="AJ20" s="3">
        <f t="shared" si="0"/>
        <v>20</v>
      </c>
      <c r="AK20" s="3">
        <v>0.5</v>
      </c>
      <c r="AL20" s="3">
        <v>0</v>
      </c>
      <c r="AM20" s="3">
        <f t="shared" si="1"/>
        <v>8</v>
      </c>
      <c r="AN20" s="3">
        <f t="shared" si="2"/>
        <v>1</v>
      </c>
      <c r="AO20" s="3">
        <v>30</v>
      </c>
    </row>
    <row r="21" spans="1:41">
      <c r="A21" s="1" t="s">
        <v>49</v>
      </c>
      <c r="B21" t="s">
        <v>50</v>
      </c>
      <c r="C21" s="9">
        <v>45676</v>
      </c>
      <c r="E21" s="4" t="s">
        <v>18</v>
      </c>
      <c r="F21" s="4" t="s">
        <v>18</v>
      </c>
      <c r="G21" s="4" t="s">
        <v>18</v>
      </c>
      <c r="H21" s="4" t="s">
        <v>18</v>
      </c>
      <c r="I21" s="4" t="s">
        <v>18</v>
      </c>
      <c r="J21" s="2" t="s">
        <v>19</v>
      </c>
      <c r="K21" s="2" t="s">
        <v>19</v>
      </c>
      <c r="L21" s="5" t="s">
        <v>20</v>
      </c>
      <c r="M21" s="4" t="s">
        <v>18</v>
      </c>
      <c r="N21" s="4" t="s">
        <v>18</v>
      </c>
      <c r="O21" s="4" t="s">
        <v>18</v>
      </c>
      <c r="P21" s="4" t="s">
        <v>18</v>
      </c>
      <c r="Q21" s="2" t="s">
        <v>19</v>
      </c>
      <c r="R21" s="2" t="s">
        <v>19</v>
      </c>
      <c r="S21" s="4" t="s">
        <v>18</v>
      </c>
      <c r="T21" s="4" t="s">
        <v>18</v>
      </c>
      <c r="U21" s="4" t="s">
        <v>18</v>
      </c>
      <c r="V21" s="4" t="s">
        <v>18</v>
      </c>
      <c r="W21" s="4" t="s">
        <v>18</v>
      </c>
      <c r="X21" s="2" t="s">
        <v>19</v>
      </c>
      <c r="Y21" s="2" t="s">
        <v>19</v>
      </c>
      <c r="Z21" s="4" t="s">
        <v>18</v>
      </c>
      <c r="AA21" s="4" t="s">
        <v>18</v>
      </c>
      <c r="AB21" s="4" t="s">
        <v>18</v>
      </c>
      <c r="AC21" s="4" t="s">
        <v>18</v>
      </c>
      <c r="AD21" s="4" t="s">
        <v>18</v>
      </c>
      <c r="AE21" s="2" t="s">
        <v>19</v>
      </c>
      <c r="AF21" s="2" t="s">
        <v>19</v>
      </c>
      <c r="AG21" s="4" t="s">
        <v>18</v>
      </c>
      <c r="AH21" s="4" t="s">
        <v>18</v>
      </c>
      <c r="AI21" s="3">
        <v>30</v>
      </c>
      <c r="AJ21" s="3">
        <f t="shared" si="0"/>
        <v>21</v>
      </c>
      <c r="AK21" s="3">
        <f t="shared" si="3"/>
        <v>0</v>
      </c>
      <c r="AL21" s="3">
        <v>0</v>
      </c>
      <c r="AM21" s="3">
        <f t="shared" si="1"/>
        <v>8</v>
      </c>
      <c r="AN21" s="3">
        <f t="shared" si="2"/>
        <v>1</v>
      </c>
      <c r="AO21" s="3">
        <v>30</v>
      </c>
    </row>
    <row r="22" spans="1:41">
      <c r="A22" s="1" t="s">
        <v>51</v>
      </c>
      <c r="B22" t="s">
        <v>52</v>
      </c>
      <c r="C22" s="9">
        <v>45720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2" t="s">
        <v>19</v>
      </c>
      <c r="K22" s="2" t="s">
        <v>19</v>
      </c>
      <c r="L22" s="5" t="s">
        <v>20</v>
      </c>
      <c r="M22" s="4" t="s">
        <v>18</v>
      </c>
      <c r="N22" s="4" t="s">
        <v>18</v>
      </c>
      <c r="O22" s="6" t="s">
        <v>31</v>
      </c>
      <c r="P22" s="4" t="s">
        <v>18</v>
      </c>
      <c r="Q22" s="2" t="s">
        <v>19</v>
      </c>
      <c r="R22" s="2" t="s">
        <v>19</v>
      </c>
      <c r="S22" s="4" t="s">
        <v>18</v>
      </c>
      <c r="T22" s="4" t="s">
        <v>18</v>
      </c>
      <c r="U22" s="4" t="s">
        <v>18</v>
      </c>
      <c r="V22" s="4" t="s">
        <v>18</v>
      </c>
      <c r="W22" s="4" t="s">
        <v>18</v>
      </c>
      <c r="X22" s="2" t="s">
        <v>19</v>
      </c>
      <c r="Y22" s="2" t="s">
        <v>19</v>
      </c>
      <c r="Z22" s="4" t="s">
        <v>18</v>
      </c>
      <c r="AA22" s="4" t="s">
        <v>18</v>
      </c>
      <c r="AB22" s="4" t="s">
        <v>18</v>
      </c>
      <c r="AC22" s="4" t="s">
        <v>18</v>
      </c>
      <c r="AD22" s="4" t="s">
        <v>18</v>
      </c>
      <c r="AE22" s="2" t="s">
        <v>19</v>
      </c>
      <c r="AF22" s="2" t="s">
        <v>19</v>
      </c>
      <c r="AG22" s="4" t="s">
        <v>18</v>
      </c>
      <c r="AH22" s="4" t="s">
        <v>18</v>
      </c>
      <c r="AI22" s="3">
        <v>30</v>
      </c>
      <c r="AJ22" s="3">
        <f t="shared" si="0"/>
        <v>20</v>
      </c>
      <c r="AK22" s="3">
        <f t="shared" si="3"/>
        <v>1</v>
      </c>
      <c r="AL22" s="3">
        <v>0</v>
      </c>
      <c r="AM22" s="3">
        <f t="shared" si="1"/>
        <v>8</v>
      </c>
      <c r="AN22" s="3">
        <f t="shared" si="2"/>
        <v>1</v>
      </c>
      <c r="AO22" s="3">
        <v>30</v>
      </c>
    </row>
    <row r="23" spans="1:41">
      <c r="A23" s="1" t="s">
        <v>53</v>
      </c>
      <c r="B23" t="s">
        <v>54</v>
      </c>
      <c r="C23" s="9">
        <v>45798</v>
      </c>
      <c r="E23" s="4" t="s">
        <v>18</v>
      </c>
      <c r="F23" s="4" t="s">
        <v>18</v>
      </c>
      <c r="G23" s="4" t="s">
        <v>18</v>
      </c>
      <c r="H23" s="4" t="s">
        <v>18</v>
      </c>
      <c r="I23" s="4" t="s">
        <v>18</v>
      </c>
      <c r="J23" s="2" t="s">
        <v>19</v>
      </c>
      <c r="K23" s="2" t="s">
        <v>19</v>
      </c>
      <c r="L23" s="5" t="s">
        <v>20</v>
      </c>
      <c r="M23" s="4" t="s">
        <v>18</v>
      </c>
      <c r="N23" s="4" t="s">
        <v>18</v>
      </c>
      <c r="O23" s="4" t="s">
        <v>18</v>
      </c>
      <c r="P23" s="4" t="s">
        <v>18</v>
      </c>
      <c r="Q23" s="2" t="s">
        <v>19</v>
      </c>
      <c r="R23" s="2" t="s">
        <v>19</v>
      </c>
      <c r="S23" s="4" t="s">
        <v>18</v>
      </c>
      <c r="T23" s="4" t="s">
        <v>18</v>
      </c>
      <c r="U23" s="4" t="s">
        <v>18</v>
      </c>
      <c r="V23" s="6" t="s">
        <v>31</v>
      </c>
      <c r="W23" s="4" t="s">
        <v>18</v>
      </c>
      <c r="X23" s="2" t="s">
        <v>19</v>
      </c>
      <c r="Y23" s="2" t="s">
        <v>19</v>
      </c>
      <c r="Z23" s="4" t="s">
        <v>18</v>
      </c>
      <c r="AA23" s="4" t="s">
        <v>18</v>
      </c>
      <c r="AB23" s="4" t="s">
        <v>18</v>
      </c>
      <c r="AC23" s="4" t="s">
        <v>18</v>
      </c>
      <c r="AD23" s="4" t="s">
        <v>18</v>
      </c>
      <c r="AE23" s="2" t="s">
        <v>19</v>
      </c>
      <c r="AF23" s="2" t="s">
        <v>19</v>
      </c>
      <c r="AG23" s="4" t="s">
        <v>18</v>
      </c>
      <c r="AH23" s="4" t="s">
        <v>18</v>
      </c>
      <c r="AI23" s="3">
        <v>30</v>
      </c>
      <c r="AJ23" s="3">
        <f t="shared" si="0"/>
        <v>20</v>
      </c>
      <c r="AK23" s="3">
        <f t="shared" si="3"/>
        <v>1</v>
      </c>
      <c r="AL23" s="3">
        <v>0</v>
      </c>
      <c r="AM23" s="3">
        <f t="shared" si="1"/>
        <v>8</v>
      </c>
      <c r="AN23" s="3">
        <f t="shared" si="2"/>
        <v>1</v>
      </c>
      <c r="AO23" s="3">
        <v>30</v>
      </c>
    </row>
    <row r="24" spans="1:41">
      <c r="A24" s="1" t="s">
        <v>55</v>
      </c>
      <c r="B24" t="s">
        <v>56</v>
      </c>
      <c r="C24" s="9">
        <v>45868</v>
      </c>
      <c r="E24" s="4" t="s">
        <v>18</v>
      </c>
      <c r="F24" s="4" t="s">
        <v>18</v>
      </c>
      <c r="G24" s="4" t="s">
        <v>18</v>
      </c>
      <c r="H24" s="4" t="s">
        <v>18</v>
      </c>
      <c r="I24" s="4" t="s">
        <v>18</v>
      </c>
      <c r="J24" s="2" t="s">
        <v>19</v>
      </c>
      <c r="K24" s="2" t="s">
        <v>19</v>
      </c>
      <c r="L24" s="5" t="s">
        <v>20</v>
      </c>
      <c r="M24" s="4" t="s">
        <v>18</v>
      </c>
      <c r="N24" s="4" t="s">
        <v>18</v>
      </c>
      <c r="O24" s="4" t="s">
        <v>18</v>
      </c>
      <c r="P24" s="4" t="s">
        <v>18</v>
      </c>
      <c r="Q24" s="2" t="s">
        <v>19</v>
      </c>
      <c r="R24" s="2" t="s">
        <v>19</v>
      </c>
      <c r="S24" s="4" t="s">
        <v>18</v>
      </c>
      <c r="T24" s="4" t="s">
        <v>18</v>
      </c>
      <c r="U24" s="4" t="s">
        <v>18</v>
      </c>
      <c r="V24" s="4" t="s">
        <v>18</v>
      </c>
      <c r="W24" s="4" t="s">
        <v>18</v>
      </c>
      <c r="X24" s="2" t="s">
        <v>19</v>
      </c>
      <c r="Y24" s="2" t="s">
        <v>19</v>
      </c>
      <c r="Z24" s="4" t="s">
        <v>18</v>
      </c>
      <c r="AA24" s="4" t="s">
        <v>18</v>
      </c>
      <c r="AB24" s="4" t="s">
        <v>18</v>
      </c>
      <c r="AC24" s="4" t="s">
        <v>18</v>
      </c>
      <c r="AD24" s="4" t="s">
        <v>18</v>
      </c>
      <c r="AE24" s="2" t="s">
        <v>19</v>
      </c>
      <c r="AF24" s="2" t="s">
        <v>19</v>
      </c>
      <c r="AG24" s="4" t="s">
        <v>18</v>
      </c>
      <c r="AH24" s="4" t="s">
        <v>18</v>
      </c>
      <c r="AI24" s="3">
        <v>30</v>
      </c>
      <c r="AJ24" s="3">
        <f t="shared" si="0"/>
        <v>21</v>
      </c>
      <c r="AK24" s="3">
        <f t="shared" si="3"/>
        <v>0</v>
      </c>
      <c r="AL24" s="3">
        <v>0</v>
      </c>
      <c r="AM24" s="3">
        <f t="shared" si="1"/>
        <v>8</v>
      </c>
      <c r="AN24" s="3">
        <f t="shared" si="2"/>
        <v>1</v>
      </c>
      <c r="AO24" s="3">
        <v>30</v>
      </c>
    </row>
    <row r="25" spans="1:41">
      <c r="A25" s="1" t="s">
        <v>57</v>
      </c>
      <c r="B25" t="s">
        <v>58</v>
      </c>
      <c r="C25" s="9">
        <v>45909</v>
      </c>
      <c r="E25" s="4" t="s">
        <v>18</v>
      </c>
      <c r="F25" s="4" t="s">
        <v>18</v>
      </c>
      <c r="G25" s="4" t="s">
        <v>18</v>
      </c>
      <c r="H25" s="4" t="s">
        <v>18</v>
      </c>
      <c r="I25" s="4" t="s">
        <v>18</v>
      </c>
      <c r="J25" s="2" t="s">
        <v>19</v>
      </c>
      <c r="K25" s="2" t="s">
        <v>19</v>
      </c>
      <c r="L25" s="5" t="s">
        <v>20</v>
      </c>
      <c r="M25" s="4" t="s">
        <v>18</v>
      </c>
      <c r="N25" s="4" t="s">
        <v>18</v>
      </c>
      <c r="O25" s="4" t="s">
        <v>18</v>
      </c>
      <c r="P25" s="4" t="s">
        <v>18</v>
      </c>
      <c r="Q25" s="2" t="s">
        <v>19</v>
      </c>
      <c r="R25" s="2" t="s">
        <v>19</v>
      </c>
      <c r="S25" s="4" t="s">
        <v>18</v>
      </c>
      <c r="T25" s="4" t="s">
        <v>18</v>
      </c>
      <c r="U25" s="4" t="s">
        <v>18</v>
      </c>
      <c r="V25" s="4" t="s">
        <v>18</v>
      </c>
      <c r="W25" s="4" t="s">
        <v>18</v>
      </c>
      <c r="X25" s="2" t="s">
        <v>19</v>
      </c>
      <c r="Y25" s="2" t="s">
        <v>19</v>
      </c>
      <c r="Z25" s="4" t="s">
        <v>18</v>
      </c>
      <c r="AA25" s="4" t="s">
        <v>18</v>
      </c>
      <c r="AB25" s="4" t="s">
        <v>18</v>
      </c>
      <c r="AC25" s="4" t="s">
        <v>18</v>
      </c>
      <c r="AD25" s="4" t="s">
        <v>18</v>
      </c>
      <c r="AE25" s="2" t="s">
        <v>19</v>
      </c>
      <c r="AF25" s="2" t="s">
        <v>19</v>
      </c>
      <c r="AG25" s="4" t="s">
        <v>18</v>
      </c>
      <c r="AH25" s="4" t="s">
        <v>18</v>
      </c>
      <c r="AI25" s="3">
        <v>30</v>
      </c>
      <c r="AJ25" s="3">
        <f t="shared" si="0"/>
        <v>21</v>
      </c>
      <c r="AK25" s="3">
        <f t="shared" si="3"/>
        <v>0</v>
      </c>
      <c r="AL25" s="3">
        <v>0</v>
      </c>
      <c r="AM25" s="3">
        <f t="shared" si="1"/>
        <v>8</v>
      </c>
      <c r="AN25" s="3">
        <f t="shared" si="2"/>
        <v>1</v>
      </c>
      <c r="AO25" s="3">
        <v>30</v>
      </c>
    </row>
    <row r="26" spans="1:41">
      <c r="A26" s="1" t="s">
        <v>59</v>
      </c>
      <c r="B26" t="s">
        <v>60</v>
      </c>
      <c r="C26" s="9">
        <v>45915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2" t="s">
        <v>19</v>
      </c>
      <c r="K26" s="2" t="s">
        <v>19</v>
      </c>
      <c r="L26" s="5" t="s">
        <v>20</v>
      </c>
      <c r="M26" s="4" t="s">
        <v>18</v>
      </c>
      <c r="N26" s="4" t="s">
        <v>18</v>
      </c>
      <c r="O26" s="4" t="s">
        <v>18</v>
      </c>
      <c r="P26" s="4" t="s">
        <v>18</v>
      </c>
      <c r="Q26" s="2" t="s">
        <v>19</v>
      </c>
      <c r="R26" s="2" t="s">
        <v>19</v>
      </c>
      <c r="S26" s="4" t="s">
        <v>18</v>
      </c>
      <c r="T26" s="4" t="s">
        <v>18</v>
      </c>
      <c r="U26" s="4" t="s">
        <v>18</v>
      </c>
      <c r="V26" s="4" t="s">
        <v>18</v>
      </c>
      <c r="W26" s="4" t="s">
        <v>18</v>
      </c>
      <c r="X26" s="2" t="s">
        <v>19</v>
      </c>
      <c r="Y26" s="2" t="s">
        <v>19</v>
      </c>
      <c r="Z26" s="4" t="s">
        <v>18</v>
      </c>
      <c r="AA26" s="4" t="s">
        <v>18</v>
      </c>
      <c r="AB26" s="4" t="s">
        <v>18</v>
      </c>
      <c r="AC26" s="4" t="s">
        <v>18</v>
      </c>
      <c r="AD26" s="4" t="s">
        <v>18</v>
      </c>
      <c r="AE26" s="2" t="s">
        <v>19</v>
      </c>
      <c r="AF26" s="2" t="s">
        <v>19</v>
      </c>
      <c r="AG26" s="4" t="s">
        <v>18</v>
      </c>
      <c r="AH26" s="4" t="s">
        <v>18</v>
      </c>
      <c r="AI26" s="3">
        <v>30</v>
      </c>
      <c r="AJ26" s="3">
        <f t="shared" si="0"/>
        <v>21</v>
      </c>
      <c r="AK26" s="3">
        <f t="shared" si="3"/>
        <v>0</v>
      </c>
      <c r="AL26" s="3">
        <v>0</v>
      </c>
      <c r="AM26" s="3">
        <f t="shared" si="1"/>
        <v>8</v>
      </c>
      <c r="AN26" s="3">
        <f t="shared" si="2"/>
        <v>1</v>
      </c>
      <c r="AO26" s="3">
        <v>30</v>
      </c>
    </row>
    <row r="27" spans="1:41">
      <c r="A27" s="1" t="s">
        <v>61</v>
      </c>
      <c r="B27" t="s">
        <v>62</v>
      </c>
      <c r="C27" s="9">
        <v>45958</v>
      </c>
      <c r="E27" s="4" t="s">
        <v>18</v>
      </c>
      <c r="F27" s="4" t="s">
        <v>18</v>
      </c>
      <c r="G27" s="4" t="s">
        <v>18</v>
      </c>
      <c r="H27" s="4" t="s">
        <v>18</v>
      </c>
      <c r="I27" s="4" t="s">
        <v>18</v>
      </c>
      <c r="J27" s="2" t="s">
        <v>19</v>
      </c>
      <c r="K27" s="2" t="s">
        <v>19</v>
      </c>
      <c r="L27" s="5" t="s">
        <v>20</v>
      </c>
      <c r="M27" s="4" t="s">
        <v>18</v>
      </c>
      <c r="N27" s="4" t="s">
        <v>18</v>
      </c>
      <c r="O27" s="4" t="s">
        <v>18</v>
      </c>
      <c r="P27" s="4" t="s">
        <v>18</v>
      </c>
      <c r="Q27" s="2" t="s">
        <v>19</v>
      </c>
      <c r="R27" s="2" t="s">
        <v>19</v>
      </c>
      <c r="S27" s="4" t="s">
        <v>18</v>
      </c>
      <c r="T27" s="4" t="s">
        <v>18</v>
      </c>
      <c r="U27" s="4" t="s">
        <v>18</v>
      </c>
      <c r="V27" s="4" t="s">
        <v>18</v>
      </c>
      <c r="W27" s="4" t="s">
        <v>18</v>
      </c>
      <c r="X27" s="2" t="s">
        <v>19</v>
      </c>
      <c r="Y27" s="2" t="s">
        <v>19</v>
      </c>
      <c r="Z27" s="4" t="s">
        <v>18</v>
      </c>
      <c r="AA27" s="4" t="s">
        <v>18</v>
      </c>
      <c r="AB27" s="4" t="s">
        <v>18</v>
      </c>
      <c r="AC27" s="6" t="s">
        <v>31</v>
      </c>
      <c r="AD27" s="4" t="s">
        <v>18</v>
      </c>
      <c r="AE27" s="2" t="s">
        <v>19</v>
      </c>
      <c r="AF27" s="2" t="s">
        <v>19</v>
      </c>
      <c r="AG27" s="4" t="s">
        <v>18</v>
      </c>
      <c r="AH27" s="4" t="s">
        <v>18</v>
      </c>
      <c r="AI27" s="3">
        <v>30</v>
      </c>
      <c r="AJ27" s="3">
        <f t="shared" si="0"/>
        <v>20</v>
      </c>
      <c r="AK27" s="3">
        <f t="shared" si="3"/>
        <v>1</v>
      </c>
      <c r="AL27" s="3">
        <v>0</v>
      </c>
      <c r="AM27" s="3">
        <f t="shared" si="1"/>
        <v>8</v>
      </c>
      <c r="AN27" s="3">
        <f t="shared" si="2"/>
        <v>1</v>
      </c>
      <c r="AO27" s="3">
        <v>30</v>
      </c>
    </row>
    <row r="28" spans="1:41">
      <c r="A28" s="1" t="s">
        <v>63</v>
      </c>
      <c r="B28" t="s">
        <v>64</v>
      </c>
      <c r="C28" s="9">
        <v>45959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2" t="s">
        <v>19</v>
      </c>
      <c r="K28" s="2" t="s">
        <v>19</v>
      </c>
      <c r="L28" s="5" t="s">
        <v>20</v>
      </c>
      <c r="M28" s="4" t="s">
        <v>18</v>
      </c>
      <c r="N28" s="4" t="s">
        <v>18</v>
      </c>
      <c r="O28" s="4" t="s">
        <v>18</v>
      </c>
      <c r="P28" s="4" t="s">
        <v>18</v>
      </c>
      <c r="Q28" s="2" t="s">
        <v>19</v>
      </c>
      <c r="R28" s="2" t="s">
        <v>19</v>
      </c>
      <c r="S28" s="4" t="s">
        <v>18</v>
      </c>
      <c r="T28" s="4" t="s">
        <v>18</v>
      </c>
      <c r="U28" s="4" t="s">
        <v>18</v>
      </c>
      <c r="V28" s="4" t="s">
        <v>18</v>
      </c>
      <c r="W28" s="4" t="s">
        <v>18</v>
      </c>
      <c r="X28" s="2" t="s">
        <v>19</v>
      </c>
      <c r="Y28" s="2" t="s">
        <v>19</v>
      </c>
      <c r="Z28" s="4" t="s">
        <v>18</v>
      </c>
      <c r="AA28" s="4" t="s">
        <v>18</v>
      </c>
      <c r="AB28" s="4" t="s">
        <v>18</v>
      </c>
      <c r="AC28" s="4" t="s">
        <v>18</v>
      </c>
      <c r="AD28" s="4" t="s">
        <v>18</v>
      </c>
      <c r="AE28" s="2" t="s">
        <v>19</v>
      </c>
      <c r="AF28" s="2" t="s">
        <v>19</v>
      </c>
      <c r="AG28" s="4" t="s">
        <v>18</v>
      </c>
      <c r="AH28" s="4" t="s">
        <v>18</v>
      </c>
      <c r="AI28" s="3">
        <v>30</v>
      </c>
      <c r="AJ28" s="3">
        <f t="shared" si="0"/>
        <v>21</v>
      </c>
      <c r="AK28" s="3">
        <f t="shared" si="3"/>
        <v>0</v>
      </c>
      <c r="AL28" s="3">
        <v>0</v>
      </c>
      <c r="AM28" s="3">
        <f t="shared" si="1"/>
        <v>8</v>
      </c>
      <c r="AN28" s="3">
        <f t="shared" si="2"/>
        <v>1</v>
      </c>
      <c r="AO28" s="3">
        <v>30</v>
      </c>
    </row>
    <row r="29" spans="1:41">
      <c r="A29" s="1" t="s">
        <v>65</v>
      </c>
      <c r="B29" t="s">
        <v>66</v>
      </c>
      <c r="C29" s="9">
        <v>45960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2" t="s">
        <v>19</v>
      </c>
      <c r="K29" s="2" t="s">
        <v>19</v>
      </c>
      <c r="L29" s="5" t="s">
        <v>20</v>
      </c>
      <c r="M29" s="4" t="s">
        <v>18</v>
      </c>
      <c r="N29" s="4" t="s">
        <v>18</v>
      </c>
      <c r="O29" s="4" t="s">
        <v>18</v>
      </c>
      <c r="P29" s="4" t="s">
        <v>18</v>
      </c>
      <c r="Q29" s="2" t="s">
        <v>19</v>
      </c>
      <c r="R29" s="2" t="s">
        <v>19</v>
      </c>
      <c r="S29" s="4" t="s">
        <v>18</v>
      </c>
      <c r="T29" s="4" t="s">
        <v>18</v>
      </c>
      <c r="U29" s="4" t="s">
        <v>18</v>
      </c>
      <c r="V29" s="4" t="s">
        <v>18</v>
      </c>
      <c r="W29" s="4" t="s">
        <v>18</v>
      </c>
      <c r="X29" s="2" t="s">
        <v>19</v>
      </c>
      <c r="Y29" s="2" t="s">
        <v>19</v>
      </c>
      <c r="Z29" s="4" t="s">
        <v>18</v>
      </c>
      <c r="AA29" s="4" t="s">
        <v>18</v>
      </c>
      <c r="AB29" s="4" t="s">
        <v>18</v>
      </c>
      <c r="AC29" s="4" t="s">
        <v>18</v>
      </c>
      <c r="AD29" s="4" t="s">
        <v>18</v>
      </c>
      <c r="AE29" s="2" t="s">
        <v>19</v>
      </c>
      <c r="AF29" s="2" t="s">
        <v>19</v>
      </c>
      <c r="AG29" s="4" t="s">
        <v>18</v>
      </c>
      <c r="AH29" s="4" t="s">
        <v>18</v>
      </c>
      <c r="AI29" s="3">
        <v>30</v>
      </c>
      <c r="AJ29" s="3">
        <f t="shared" si="0"/>
        <v>21</v>
      </c>
      <c r="AK29" s="3">
        <f t="shared" si="3"/>
        <v>0</v>
      </c>
      <c r="AL29" s="3">
        <v>0</v>
      </c>
      <c r="AM29" s="3">
        <f t="shared" si="1"/>
        <v>8</v>
      </c>
      <c r="AN29" s="3">
        <f t="shared" si="2"/>
        <v>1</v>
      </c>
      <c r="AO29" s="3">
        <v>30</v>
      </c>
    </row>
    <row r="30" spans="1:41">
      <c r="A30" s="1" t="s">
        <v>67</v>
      </c>
      <c r="B30" t="s">
        <v>68</v>
      </c>
      <c r="C30" s="9">
        <v>45961</v>
      </c>
      <c r="E30" s="4" t="s">
        <v>18</v>
      </c>
      <c r="F30" s="4" t="s">
        <v>18</v>
      </c>
      <c r="G30" s="4" t="s">
        <v>18</v>
      </c>
      <c r="H30" s="4" t="s">
        <v>18</v>
      </c>
      <c r="I30" s="4" t="s">
        <v>18</v>
      </c>
      <c r="J30" s="2" t="s">
        <v>19</v>
      </c>
      <c r="K30" s="2" t="s">
        <v>19</v>
      </c>
      <c r="L30" s="5" t="s">
        <v>20</v>
      </c>
      <c r="M30" s="4" t="s">
        <v>18</v>
      </c>
      <c r="N30" s="4" t="s">
        <v>18</v>
      </c>
      <c r="O30" s="4" t="s">
        <v>18</v>
      </c>
      <c r="P30" s="4" t="s">
        <v>18</v>
      </c>
      <c r="Q30" s="2" t="s">
        <v>19</v>
      </c>
      <c r="R30" s="2" t="s">
        <v>19</v>
      </c>
      <c r="S30" s="4" t="s">
        <v>18</v>
      </c>
      <c r="T30" s="4" t="s">
        <v>18</v>
      </c>
      <c r="U30" s="4" t="s">
        <v>18</v>
      </c>
      <c r="V30" s="4" t="s">
        <v>18</v>
      </c>
      <c r="W30" s="4" t="s">
        <v>18</v>
      </c>
      <c r="X30" s="2" t="s">
        <v>19</v>
      </c>
      <c r="Y30" s="2" t="s">
        <v>19</v>
      </c>
      <c r="Z30" s="4" t="s">
        <v>18</v>
      </c>
      <c r="AA30" s="4" t="s">
        <v>18</v>
      </c>
      <c r="AB30" s="4" t="s">
        <v>18</v>
      </c>
      <c r="AC30" s="4" t="s">
        <v>18</v>
      </c>
      <c r="AD30" s="4" t="s">
        <v>18</v>
      </c>
      <c r="AE30" s="2" t="s">
        <v>19</v>
      </c>
      <c r="AF30" s="2" t="s">
        <v>19</v>
      </c>
      <c r="AG30" s="4" t="s">
        <v>18</v>
      </c>
      <c r="AH30" s="4" t="s">
        <v>18</v>
      </c>
      <c r="AI30" s="3">
        <v>30</v>
      </c>
      <c r="AJ30" s="3">
        <f t="shared" si="0"/>
        <v>21</v>
      </c>
      <c r="AK30" s="3">
        <f t="shared" si="3"/>
        <v>0</v>
      </c>
      <c r="AL30" s="3">
        <v>0</v>
      </c>
      <c r="AM30" s="3">
        <f t="shared" si="1"/>
        <v>8</v>
      </c>
      <c r="AN30" s="3">
        <f t="shared" si="2"/>
        <v>1</v>
      </c>
      <c r="AO30" s="3">
        <v>30</v>
      </c>
    </row>
    <row r="31" spans="1:41">
      <c r="A31" s="1" t="s">
        <v>69</v>
      </c>
      <c r="B31" t="s">
        <v>70</v>
      </c>
      <c r="C31" s="9">
        <v>45962</v>
      </c>
      <c r="E31" s="4" t="s">
        <v>18</v>
      </c>
      <c r="F31" s="4" t="s">
        <v>18</v>
      </c>
      <c r="G31" s="4" t="s">
        <v>18</v>
      </c>
      <c r="H31" s="4" t="s">
        <v>18</v>
      </c>
      <c r="I31" s="4" t="s">
        <v>18</v>
      </c>
      <c r="J31" s="2" t="s">
        <v>19</v>
      </c>
      <c r="K31" s="2" t="s">
        <v>19</v>
      </c>
      <c r="L31" s="5" t="s">
        <v>20</v>
      </c>
      <c r="M31" s="4" t="s">
        <v>18</v>
      </c>
      <c r="N31" s="4" t="s">
        <v>18</v>
      </c>
      <c r="O31" s="4" t="s">
        <v>18</v>
      </c>
      <c r="P31" s="4" t="s">
        <v>18</v>
      </c>
      <c r="Q31" s="2" t="s">
        <v>19</v>
      </c>
      <c r="R31" s="2" t="s">
        <v>19</v>
      </c>
      <c r="S31" s="4" t="s">
        <v>18</v>
      </c>
      <c r="T31" s="4" t="s">
        <v>18</v>
      </c>
      <c r="U31" s="4" t="s">
        <v>18</v>
      </c>
      <c r="V31" s="4" t="s">
        <v>18</v>
      </c>
      <c r="W31" s="4" t="s">
        <v>18</v>
      </c>
      <c r="X31" s="2" t="s">
        <v>19</v>
      </c>
      <c r="Y31" s="2" t="s">
        <v>19</v>
      </c>
      <c r="Z31" s="4" t="s">
        <v>18</v>
      </c>
      <c r="AA31" s="6" t="s">
        <v>31</v>
      </c>
      <c r="AB31" s="4" t="s">
        <v>18</v>
      </c>
      <c r="AC31" s="4" t="s">
        <v>18</v>
      </c>
      <c r="AD31" s="4" t="s">
        <v>18</v>
      </c>
      <c r="AE31" s="2" t="s">
        <v>19</v>
      </c>
      <c r="AF31" s="2" t="s">
        <v>19</v>
      </c>
      <c r="AG31" s="4" t="s">
        <v>18</v>
      </c>
      <c r="AH31" s="4" t="s">
        <v>18</v>
      </c>
      <c r="AI31" s="3">
        <v>30</v>
      </c>
      <c r="AJ31" s="3">
        <f t="shared" si="0"/>
        <v>20</v>
      </c>
      <c r="AK31" s="3">
        <f t="shared" si="3"/>
        <v>1</v>
      </c>
      <c r="AL31" s="3">
        <v>0</v>
      </c>
      <c r="AM31" s="3">
        <f t="shared" si="1"/>
        <v>8</v>
      </c>
      <c r="AN31" s="3">
        <f t="shared" si="2"/>
        <v>1</v>
      </c>
      <c r="AO31" s="3">
        <v>30</v>
      </c>
    </row>
    <row r="32" spans="1:41">
      <c r="A32" s="1" t="s">
        <v>71</v>
      </c>
      <c r="B32" t="s">
        <v>72</v>
      </c>
      <c r="C32" s="12">
        <v>45909</v>
      </c>
      <c r="E32" s="3"/>
      <c r="F32" s="3"/>
      <c r="G32" s="3"/>
      <c r="H32" s="3"/>
      <c r="I32" s="3"/>
      <c r="J32" s="3"/>
      <c r="K32" s="3"/>
      <c r="L32" s="3"/>
      <c r="M32" s="4" t="s">
        <v>18</v>
      </c>
      <c r="N32" s="4" t="s">
        <v>18</v>
      </c>
      <c r="O32" s="4" t="s">
        <v>18</v>
      </c>
      <c r="P32" s="4" t="s">
        <v>18</v>
      </c>
      <c r="Q32" s="2" t="s">
        <v>19</v>
      </c>
      <c r="R32" s="2" t="s">
        <v>19</v>
      </c>
      <c r="S32" s="4" t="s">
        <v>18</v>
      </c>
      <c r="T32" s="4" t="s">
        <v>18</v>
      </c>
      <c r="U32" s="4" t="s">
        <v>18</v>
      </c>
      <c r="V32" s="4" t="s">
        <v>18</v>
      </c>
      <c r="W32" s="4" t="s">
        <v>18</v>
      </c>
      <c r="X32" s="2" t="s">
        <v>19</v>
      </c>
      <c r="Y32" s="2" t="s">
        <v>19</v>
      </c>
      <c r="Z32" s="4" t="s">
        <v>18</v>
      </c>
      <c r="AA32" s="4" t="s">
        <v>18</v>
      </c>
      <c r="AB32" s="4" t="s">
        <v>18</v>
      </c>
      <c r="AC32" s="4" t="s">
        <v>18</v>
      </c>
      <c r="AD32" s="4" t="s">
        <v>18</v>
      </c>
      <c r="AE32" s="2" t="s">
        <v>19</v>
      </c>
      <c r="AF32" s="2" t="s">
        <v>19</v>
      </c>
      <c r="AG32" s="4" t="s">
        <v>18</v>
      </c>
      <c r="AH32" s="4" t="s">
        <v>18</v>
      </c>
      <c r="AI32" s="3">
        <v>30</v>
      </c>
      <c r="AJ32" s="3">
        <f>COUNTIF(E32:AH32,"P")</f>
        <v>16</v>
      </c>
      <c r="AK32" s="3">
        <f>COUNTIF(E32:AH32,"L")</f>
        <v>0</v>
      </c>
      <c r="AL32" s="3">
        <v>0</v>
      </c>
      <c r="AM32" s="3">
        <f>COUNTIF(E32:AH32,"WO")</f>
        <v>6</v>
      </c>
      <c r="AN32" s="3">
        <f>COUNTIF(E32:AH32,"H")</f>
        <v>0</v>
      </c>
      <c r="AO32" s="8">
        <v>22</v>
      </c>
    </row>
    <row r="33" spans="1:41">
      <c r="A33" s="1" t="s">
        <v>73</v>
      </c>
      <c r="B33" t="s">
        <v>74</v>
      </c>
      <c r="C33" s="9">
        <v>45915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2"/>
      <c r="R33" s="2"/>
      <c r="S33" s="4" t="s">
        <v>18</v>
      </c>
      <c r="T33" s="4" t="s">
        <v>18</v>
      </c>
      <c r="U33" s="4" t="s">
        <v>18</v>
      </c>
      <c r="V33" s="4" t="s">
        <v>18</v>
      </c>
      <c r="W33" s="4" t="s">
        <v>18</v>
      </c>
      <c r="X33" s="2" t="s">
        <v>19</v>
      </c>
      <c r="Y33" s="2" t="s">
        <v>19</v>
      </c>
      <c r="Z33" s="4" t="s">
        <v>18</v>
      </c>
      <c r="AA33" s="4" t="s">
        <v>18</v>
      </c>
      <c r="AB33" s="4" t="s">
        <v>18</v>
      </c>
      <c r="AC33" s="4" t="s">
        <v>18</v>
      </c>
      <c r="AD33" s="4" t="s">
        <v>18</v>
      </c>
      <c r="AE33" s="2" t="s">
        <v>19</v>
      </c>
      <c r="AF33" s="2" t="s">
        <v>19</v>
      </c>
      <c r="AG33" s="4" t="s">
        <v>18</v>
      </c>
      <c r="AH33" s="4" t="s">
        <v>18</v>
      </c>
      <c r="AI33" s="3">
        <v>30</v>
      </c>
      <c r="AJ33" s="3">
        <f t="shared" si="0"/>
        <v>12</v>
      </c>
      <c r="AK33" s="3">
        <f t="shared" si="3"/>
        <v>0</v>
      </c>
      <c r="AL33" s="3">
        <v>0</v>
      </c>
      <c r="AM33" s="3">
        <f t="shared" si="1"/>
        <v>4</v>
      </c>
      <c r="AN33" s="3">
        <f t="shared" si="2"/>
        <v>0</v>
      </c>
      <c r="AO33" s="8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JNPA</dc:creator>
  <cp:keywords/>
  <dc:description/>
  <cp:lastModifiedBy/>
  <cp:revision/>
  <dcterms:created xsi:type="dcterms:W3CDTF">2025-11-19T08:50:43Z</dcterms:created>
  <dcterms:modified xsi:type="dcterms:W3CDTF">2025-11-20T10:49:10Z</dcterms:modified>
  <cp:category/>
  <cp:contentStatus/>
</cp:coreProperties>
</file>